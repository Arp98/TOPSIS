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f9edfb9637564d78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I:\DS\Excel VBA\Topsis\"/>
    </mc:Choice>
  </mc:AlternateContent>
  <bookViews>
    <workbookView xWindow="0" yWindow="0" windowWidth="20490" windowHeight="7620"/>
  </bookViews>
  <sheets>
    <sheet name="Sheet3" sheetId="7" r:id="rId1"/>
    <sheet name="Sheet2" sheetId="6" r:id="rId2"/>
    <sheet name="Sheet1" sheetId="1" r:id="rId3"/>
  </sheets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49" i="1" l="1"/>
  <c r="M50" i="1"/>
  <c r="M51" i="1"/>
  <c r="M52" i="1"/>
  <c r="M53" i="1"/>
  <c r="M54" i="1"/>
  <c r="M55" i="1"/>
  <c r="M56" i="1"/>
  <c r="M57" i="1"/>
  <c r="M58" i="1"/>
  <c r="M59" i="1"/>
  <c r="M48" i="1"/>
</calcChain>
</file>

<file path=xl/sharedStrings.xml><?xml version="1.0" encoding="utf-8"?>
<sst xmlns="http://schemas.openxmlformats.org/spreadsheetml/2006/main" count="141" uniqueCount="35">
  <si>
    <t>Weights</t>
  </si>
  <si>
    <t>Alternative 1</t>
  </si>
  <si>
    <t>Alternative 2</t>
  </si>
  <si>
    <t>Alternative 3</t>
  </si>
  <si>
    <t>Alternative 4</t>
  </si>
  <si>
    <t>Alternative 5</t>
  </si>
  <si>
    <t>Alternative 6</t>
  </si>
  <si>
    <t>Alternative 7</t>
  </si>
  <si>
    <t>Alternative 8</t>
  </si>
  <si>
    <t>Alternative 9</t>
  </si>
  <si>
    <t>Alternative 10</t>
  </si>
  <si>
    <t>Criteria 1</t>
  </si>
  <si>
    <t>Criteria 2</t>
  </si>
  <si>
    <t>Criteria 3</t>
  </si>
  <si>
    <t>Criteria 4</t>
  </si>
  <si>
    <t>Criteria 5</t>
  </si>
  <si>
    <t>Alternative 11</t>
  </si>
  <si>
    <t>Alternative 12</t>
  </si>
  <si>
    <t>Less the better</t>
  </si>
  <si>
    <t>More the better</t>
  </si>
  <si>
    <t>Less the Better</t>
  </si>
  <si>
    <t>More the Better</t>
  </si>
  <si>
    <t>V +</t>
  </si>
  <si>
    <t>V -</t>
  </si>
  <si>
    <t>D +</t>
  </si>
  <si>
    <t>D -</t>
  </si>
  <si>
    <t>Performance Score</t>
  </si>
  <si>
    <t>Rank</t>
  </si>
  <si>
    <t>Normalized Matrix</t>
  </si>
  <si>
    <t>Weighted Normalized Matrix</t>
  </si>
  <si>
    <t>Nature of the Criteria</t>
  </si>
  <si>
    <t>Initial Matrix</t>
  </si>
  <si>
    <t>Idle Best</t>
  </si>
  <si>
    <t>Idle Worst</t>
  </si>
  <si>
    <t>Euclidean Distance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</si>
</sst>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6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164" fontId="1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2" fillId="2" borderId="0" xfId="0" applyFont="1" applyFill="1" applyBorder="1"/>
    <xf numFmtId="0" fontId="2" fillId="2" borderId="0" xfId="0" applyFont="1" applyFill="1" applyBorder="1" applyAlignment="1">
      <alignment horizontal="center" vertical="center"/>
    </xf>
    <xf numFmtId="164" fontId="0" fillId="0" borderId="0" xfId="0" applyNumberForma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164" fontId="1" fillId="0" borderId="0" xfId="0" applyNumberFormat="1" applyFont="1" applyFill="1" applyBorder="1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3" fillId="0" borderId="0" xfId="0" applyFont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4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1</xdr:row>
      <xdr:rowOff>73025</xdr:rowOff>
    </xdr:from>
    <xdr:to>
      <xdr:col>1</xdr:col>
      <xdr:colOff>517525</xdr:colOff>
      <xdr:row>4</xdr:row>
      <xdr:rowOff>9525</xdr:rowOff>
    </xdr:to>
    <xdr:sp macro="TOPSISForm" textlink="">
      <xdr:nvSpPr>
        <xdr:cNvPr id="2" name="Oval 1"/>
        <xdr:cNvSpPr/>
      </xdr:nvSpPr>
      <xdr:spPr>
        <a:xfrm>
          <a:off x="238125" y="263525"/>
          <a:ext cx="889000" cy="508000"/>
        </a:xfrm>
        <a:prstGeom prst="ellips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>
              <a:solidFill>
                <a:schemeClr val="tx1"/>
              </a:solidFill>
              <a:effectLst>
                <a:outerShdw blurRad="38100" dist="19050" dir="2699983" rotWithShape="0">
                  <a:schemeClr val="dk1">
                    <a:alpha val="40000"/>
                  </a:schemeClr>
                </a:outerShdw>
              </a:effectLst>
              <a:latin typeface="Arial Rounded MT Bold" panose="020F0704030504030204" pitchFamily="34" charset="0"/>
              <a:ea typeface="+mn-ea"/>
              <a:cs typeface="+mn-cs"/>
            </a:rPr>
            <a:t>Form</a:t>
          </a:r>
        </a:p>
      </xdr:txBody>
    </xdr:sp>
    <xdr:clientData/>
  </xdr:twoCellAnchor>
  <xdr:twoCellAnchor>
    <xdr:from>
      <xdr:col>0</xdr:col>
      <xdr:colOff>238125</xdr:colOff>
      <xdr:row>5</xdr:row>
      <xdr:rowOff>9525</xdr:rowOff>
    </xdr:from>
    <xdr:to>
      <xdr:col>1</xdr:col>
      <xdr:colOff>517525</xdr:colOff>
      <xdr:row>7</xdr:row>
      <xdr:rowOff>136525</xdr:rowOff>
    </xdr:to>
    <xdr:sp macro="Solve" textlink="">
      <xdr:nvSpPr>
        <xdr:cNvPr id="3" name="Oval 2"/>
        <xdr:cNvSpPr/>
      </xdr:nvSpPr>
      <xdr:spPr>
        <a:xfrm>
          <a:off x="238125" y="962025"/>
          <a:ext cx="889000" cy="508000"/>
        </a:xfrm>
        <a:prstGeom prst="ellips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>
              <a:solidFill>
                <a:schemeClr val="tx1"/>
              </a:solidFill>
              <a:effectLst>
                <a:outerShdw blurRad="38100" dist="19050" dir="2699983" rotWithShape="0">
                  <a:schemeClr val="dk1">
                    <a:alpha val="40000"/>
                  </a:schemeClr>
                </a:outerShdw>
              </a:effectLst>
              <a:latin typeface="Arial Rounded MT Bold" panose="020F0704030504030204" pitchFamily="34" charset="0"/>
              <a:ea typeface="+mn-ea"/>
              <a:cs typeface="+mn-cs"/>
            </a:rPr>
            <a:t>Solve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1</xdr:row>
      <xdr:rowOff>73025</xdr:rowOff>
    </xdr:from>
    <xdr:to>
      <xdr:col>1</xdr:col>
      <xdr:colOff>517525</xdr:colOff>
      <xdr:row>4</xdr:row>
      <xdr:rowOff>9525</xdr:rowOff>
    </xdr:to>
    <xdr:sp macro="TOPSISForm" textlink="">
      <xdr:nvSpPr>
        <xdr:cNvPr id="2" name="Oval 1"/>
        <xdr:cNvSpPr/>
      </xdr:nvSpPr>
      <xdr:spPr>
        <a:xfrm>
          <a:off x="238125" y="263525"/>
          <a:ext cx="889000" cy="508000"/>
        </a:xfrm>
        <a:prstGeom prst="ellips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>
              <a:solidFill>
                <a:schemeClr val="tx1"/>
              </a:solidFill>
              <a:effectLst>
                <a:outerShdw blurRad="38100" dist="19050" dir="2699983" rotWithShape="0">
                  <a:schemeClr val="dk1">
                    <a:alpha val="40000"/>
                  </a:schemeClr>
                </a:outerShdw>
              </a:effectLst>
              <a:latin typeface="Arial Rounded MT Bold" panose="020F0704030504030204" pitchFamily="34" charset="0"/>
              <a:ea typeface="+mn-ea"/>
              <a:cs typeface="+mn-cs"/>
            </a:rPr>
            <a:t>Form</a:t>
          </a:r>
        </a:p>
      </xdr:txBody>
    </xdr:sp>
    <xdr:clientData/>
  </xdr:twoCellAnchor>
  <xdr:twoCellAnchor>
    <xdr:from>
      <xdr:col>0</xdr:col>
      <xdr:colOff>238125</xdr:colOff>
      <xdr:row>5</xdr:row>
      <xdr:rowOff>9525</xdr:rowOff>
    </xdr:from>
    <xdr:to>
      <xdr:col>1</xdr:col>
      <xdr:colOff>517525</xdr:colOff>
      <xdr:row>7</xdr:row>
      <xdr:rowOff>136525</xdr:rowOff>
    </xdr:to>
    <xdr:sp macro="Solve" textlink="">
      <xdr:nvSpPr>
        <xdr:cNvPr id="3" name="Oval 2"/>
        <xdr:cNvSpPr/>
      </xdr:nvSpPr>
      <xdr:spPr>
        <a:xfrm>
          <a:off x="238125" y="962025"/>
          <a:ext cx="889000" cy="508000"/>
        </a:xfrm>
        <a:prstGeom prst="ellips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>
              <a:solidFill>
                <a:schemeClr val="tx1"/>
              </a:solidFill>
              <a:effectLst>
                <a:outerShdw blurRad="38100" dist="19050" dir="2699983" rotWithShape="0">
                  <a:schemeClr val="dk1">
                    <a:alpha val="40000"/>
                  </a:schemeClr>
                </a:outerShdw>
              </a:effectLst>
              <a:latin typeface="Arial Rounded MT Bold" panose="020F0704030504030204" pitchFamily="34" charset="0"/>
              <a:ea typeface="+mn-ea"/>
              <a:cs typeface="+mn-cs"/>
            </a:rPr>
            <a:t>Solve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AAA38"/>
  <sheetViews>
    <sheetView tabSelected="1" zoomScale="55" zoomScaleNormal="55" workbookViewId="0">
      <selection activeCell="L28" sqref="L28"/>
    </sheetView>
  </sheetViews>
  <sheetFormatPr defaultRowHeight="15" x14ac:dyDescent="0.25"/>
  <cols>
    <col min="1" max="1" width="9.140625" style="10"/>
    <col min="2" max="2" width="17.7109375" style="10" customWidth="1"/>
    <col min="3" max="3" width="26.28515625" style="10" bestFit="1" customWidth="1"/>
    <col min="4" max="4" width="12.42578125" style="10" bestFit="1" customWidth="1"/>
    <col min="5" max="5" width="15.28515625" style="10" bestFit="1" customWidth="1"/>
    <col min="6" max="6" width="12" style="10" bestFit="1" customWidth="1"/>
    <col min="7" max="7" width="9" style="10" bestFit="1" customWidth="1"/>
    <col min="8" max="11" width="12" style="10" bestFit="1" customWidth="1"/>
    <col min="12" max="12" width="18" style="10" bestFit="1" customWidth="1"/>
    <col min="13" max="13" width="5.28515625" style="10" bestFit="1" customWidth="1"/>
    <col min="14" max="703" width="12.7109375" style="10" customWidth="1"/>
  </cols>
  <sheetData>
    <row r="3" spans="2:9" ht="19.5" thickBot="1" x14ac:dyDescent="0.35">
      <c r="C3" s="27" t="s">
        <v>30</v>
      </c>
      <c r="D3" s="17"/>
    </row>
    <row r="4" spans="2:9" x14ac:dyDescent="0.25">
      <c r="D4" s="18" t="s">
        <v>11</v>
      </c>
      <c r="E4" s="14" t="s">
        <v>21</v>
      </c>
    </row>
    <row r="5" spans="2:9" x14ac:dyDescent="0.25">
      <c r="D5" s="19" t="s">
        <v>12</v>
      </c>
      <c r="E5" s="15" t="s">
        <v>21</v>
      </c>
    </row>
    <row r="6" spans="2:9" x14ac:dyDescent="0.25">
      <c r="D6" s="19" t="s">
        <v>13</v>
      </c>
      <c r="E6" s="15" t="s">
        <v>21</v>
      </c>
    </row>
    <row r="7" spans="2:9" x14ac:dyDescent="0.25">
      <c r="D7" s="19" t="s">
        <v>14</v>
      </c>
      <c r="E7" s="15" t="s">
        <v>20</v>
      </c>
    </row>
    <row r="8" spans="2:9" ht="15.75" thickBot="1" x14ac:dyDescent="0.3">
      <c r="D8" s="20" t="s">
        <v>15</v>
      </c>
      <c r="E8" s="16" t="s">
        <v>20</v>
      </c>
    </row>
    <row r="11" spans="2:9" ht="19.5" thickBot="1" x14ac:dyDescent="0.35">
      <c r="B11" s="28" t="s">
        <v>31</v>
      </c>
      <c r="C11" s="28"/>
      <c r="D11" s="28"/>
      <c r="E11" s="28"/>
    </row>
    <row r="12" spans="2:9" ht="15.75" thickBot="1" x14ac:dyDescent="0.3">
      <c r="D12" s="21" t="s">
        <v>0</v>
      </c>
      <c r="E12" s="12">
        <v>0.1</v>
      </c>
      <c r="F12" s="12">
        <v>0.4</v>
      </c>
      <c r="G12" s="12">
        <v>0.3</v>
      </c>
      <c r="H12" s="12">
        <v>0.1</v>
      </c>
      <c r="I12" s="14">
        <v>0.1</v>
      </c>
    </row>
    <row r="13" spans="2:9" ht="15.75" thickBot="1" x14ac:dyDescent="0.3">
      <c r="D13" s="24"/>
      <c r="E13" s="25" t="s">
        <v>11</v>
      </c>
      <c r="F13" s="25" t="s">
        <v>12</v>
      </c>
      <c r="G13" s="25" t="s">
        <v>13</v>
      </c>
      <c r="H13" s="25" t="s">
        <v>14</v>
      </c>
      <c r="I13" s="26" t="s">
        <v>15</v>
      </c>
    </row>
    <row r="14" spans="2:9" x14ac:dyDescent="0.25">
      <c r="D14" s="22" t="s">
        <v>1</v>
      </c>
      <c r="E14" s="11">
        <v>2</v>
      </c>
      <c r="F14" s="11">
        <v>0</v>
      </c>
      <c r="G14" s="11">
        <v>0</v>
      </c>
      <c r="H14" s="11">
        <v>1</v>
      </c>
      <c r="I14" s="15">
        <v>1</v>
      </c>
    </row>
    <row r="15" spans="2:9" x14ac:dyDescent="0.25">
      <c r="D15" s="22" t="s">
        <v>2</v>
      </c>
      <c r="E15" s="11">
        <v>4</v>
      </c>
      <c r="F15" s="11">
        <v>1</v>
      </c>
      <c r="G15" s="11">
        <v>0</v>
      </c>
      <c r="H15" s="11">
        <v>1</v>
      </c>
      <c r="I15" s="15">
        <v>2</v>
      </c>
    </row>
    <row r="16" spans="2:9" x14ac:dyDescent="0.25">
      <c r="D16" s="22" t="s">
        <v>3</v>
      </c>
      <c r="E16" s="11">
        <v>4</v>
      </c>
      <c r="F16" s="11">
        <v>0</v>
      </c>
      <c r="G16" s="11">
        <v>10</v>
      </c>
      <c r="H16" s="11">
        <v>5</v>
      </c>
      <c r="I16" s="15">
        <v>1</v>
      </c>
    </row>
    <row r="17" spans="2:13" ht="15.75" thickBot="1" x14ac:dyDescent="0.3">
      <c r="D17" s="23" t="s">
        <v>4</v>
      </c>
      <c r="E17" s="13">
        <v>5</v>
      </c>
      <c r="F17" s="13">
        <v>2</v>
      </c>
      <c r="G17" s="13">
        <v>0</v>
      </c>
      <c r="H17" s="13">
        <v>1</v>
      </c>
      <c r="I17" s="16">
        <v>5</v>
      </c>
    </row>
    <row r="20" spans="2:13" ht="19.5" thickBot="1" x14ac:dyDescent="0.35">
      <c r="B20" s="28" t="s">
        <v>28</v>
      </c>
      <c r="C20" s="28"/>
      <c r="D20" s="28"/>
      <c r="E20" s="28"/>
    </row>
    <row r="21" spans="2:13" ht="15.75" thickBot="1" x14ac:dyDescent="0.3">
      <c r="D21" s="21" t="s">
        <v>0</v>
      </c>
      <c r="E21" s="12">
        <v>0.1</v>
      </c>
      <c r="F21" s="12">
        <v>0.4</v>
      </c>
      <c r="G21" s="12">
        <v>0.3</v>
      </c>
      <c r="H21" s="12">
        <v>0.1</v>
      </c>
      <c r="I21" s="14">
        <v>0.1</v>
      </c>
    </row>
    <row r="22" spans="2:13" ht="15.75" thickBot="1" x14ac:dyDescent="0.3">
      <c r="D22" s="24"/>
      <c r="E22" s="25" t="s">
        <v>11</v>
      </c>
      <c r="F22" s="25" t="s">
        <v>12</v>
      </c>
      <c r="G22" s="25" t="s">
        <v>13</v>
      </c>
      <c r="H22" s="25" t="s">
        <v>14</v>
      </c>
      <c r="I22" s="26" t="s">
        <v>15</v>
      </c>
    </row>
    <row r="23" spans="2:13" x14ac:dyDescent="0.25">
      <c r="D23" s="22" t="s">
        <v>1</v>
      </c>
      <c r="E23" s="11">
        <v>0.25607375986579195</v>
      </c>
      <c r="F23" s="11">
        <v>0</v>
      </c>
      <c r="G23" s="11">
        <v>0</v>
      </c>
      <c r="H23" s="11">
        <v>0.1889822365046136</v>
      </c>
      <c r="I23" s="15">
        <v>0.17960530202677491</v>
      </c>
    </row>
    <row r="24" spans="2:13" x14ac:dyDescent="0.25">
      <c r="D24" s="22" t="s">
        <v>2</v>
      </c>
      <c r="E24" s="11">
        <v>0.5121475197315839</v>
      </c>
      <c r="F24" s="11">
        <v>0.44721359549995793</v>
      </c>
      <c r="G24" s="11">
        <v>0</v>
      </c>
      <c r="H24" s="11">
        <v>0.1889822365046136</v>
      </c>
      <c r="I24" s="15">
        <v>0.35921060405354982</v>
      </c>
    </row>
    <row r="25" spans="2:13" x14ac:dyDescent="0.25">
      <c r="D25" s="22" t="s">
        <v>3</v>
      </c>
      <c r="E25" s="11">
        <v>0.5121475197315839</v>
      </c>
      <c r="F25" s="11">
        <v>0</v>
      </c>
      <c r="G25" s="11">
        <v>1</v>
      </c>
      <c r="H25" s="11">
        <v>0.94491118252306805</v>
      </c>
      <c r="I25" s="15">
        <v>0.17960530202677491</v>
      </c>
    </row>
    <row r="26" spans="2:13" ht="15.75" thickBot="1" x14ac:dyDescent="0.3">
      <c r="D26" s="23" t="s">
        <v>4</v>
      </c>
      <c r="E26" s="13">
        <v>0.64018439966447993</v>
      </c>
      <c r="F26" s="13">
        <v>0.89442719099991586</v>
      </c>
      <c r="G26" s="13">
        <v>0</v>
      </c>
      <c r="H26" s="13">
        <v>0.1889822365046136</v>
      </c>
      <c r="I26" s="16">
        <v>0.89802651013387458</v>
      </c>
    </row>
    <row r="29" spans="2:13" ht="18.75" x14ac:dyDescent="0.3">
      <c r="B29" s="28" t="s">
        <v>29</v>
      </c>
      <c r="C29" s="28"/>
      <c r="D29" s="28"/>
      <c r="E29" s="28"/>
    </row>
    <row r="30" spans="2:13" ht="16.5" thickBot="1" x14ac:dyDescent="0.3">
      <c r="J30" s="29" t="s">
        <v>34</v>
      </c>
      <c r="K30" s="29"/>
    </row>
    <row r="31" spans="2:13" ht="15.75" thickBot="1" x14ac:dyDescent="0.3">
      <c r="D31" s="24"/>
      <c r="E31" s="25" t="s">
        <v>11</v>
      </c>
      <c r="F31" s="25" t="s">
        <v>12</v>
      </c>
      <c r="G31" s="25" t="s">
        <v>13</v>
      </c>
      <c r="H31" s="25" t="s">
        <v>14</v>
      </c>
      <c r="I31" s="26" t="s">
        <v>15</v>
      </c>
      <c r="J31" s="17" t="s">
        <v>24</v>
      </c>
      <c r="K31" s="17" t="s">
        <v>25</v>
      </c>
      <c r="L31" s="17" t="s">
        <v>26</v>
      </c>
      <c r="M31" s="17" t="s">
        <v>27</v>
      </c>
    </row>
    <row r="32" spans="2:13" x14ac:dyDescent="0.25">
      <c r="D32" s="22" t="s">
        <v>1</v>
      </c>
      <c r="E32" s="11">
        <v>2.5607375986579195E-2</v>
      </c>
      <c r="F32" s="11">
        <v>0</v>
      </c>
      <c r="G32" s="11">
        <v>0</v>
      </c>
      <c r="H32" s="11">
        <v>1.8898223650461361E-2</v>
      </c>
      <c r="I32" s="15">
        <v>1.7960530202677492E-2</v>
      </c>
      <c r="J32" s="10">
        <v>0.46848202722843657</v>
      </c>
      <c r="K32" s="10">
        <v>0.10428602992187574</v>
      </c>
      <c r="L32" s="10">
        <v>0.18207375327585318</v>
      </c>
      <c r="M32" s="10">
        <v>4</v>
      </c>
    </row>
    <row r="33" spans="3:13" x14ac:dyDescent="0.25">
      <c r="D33" s="22" t="s">
        <v>2</v>
      </c>
      <c r="E33" s="11">
        <v>5.121475197315839E-2</v>
      </c>
      <c r="F33" s="11">
        <v>0.17888543819998318</v>
      </c>
      <c r="G33" s="11">
        <v>0</v>
      </c>
      <c r="H33" s="11">
        <v>1.8898223650461361E-2</v>
      </c>
      <c r="I33" s="15">
        <v>3.5921060405354983E-2</v>
      </c>
      <c r="J33" s="10">
        <v>0.34998073528608797</v>
      </c>
      <c r="K33" s="10">
        <v>0.20315818769041863</v>
      </c>
      <c r="L33" s="10">
        <v>0.36728239371982746</v>
      </c>
      <c r="M33" s="10">
        <v>3</v>
      </c>
    </row>
    <row r="34" spans="3:13" x14ac:dyDescent="0.25">
      <c r="D34" s="22" t="s">
        <v>3</v>
      </c>
      <c r="E34" s="11">
        <v>5.121475197315839E-2</v>
      </c>
      <c r="F34" s="11">
        <v>0</v>
      </c>
      <c r="G34" s="11">
        <v>0.3</v>
      </c>
      <c r="H34" s="11">
        <v>9.4491118252306813E-2</v>
      </c>
      <c r="I34" s="15">
        <v>1.7960530202677492E-2</v>
      </c>
      <c r="J34" s="10">
        <v>0.36589372793273628</v>
      </c>
      <c r="K34" s="10">
        <v>0.30954325711844971</v>
      </c>
      <c r="L34" s="10">
        <v>0.45828591559135884</v>
      </c>
      <c r="M34" s="10">
        <v>2</v>
      </c>
    </row>
    <row r="35" spans="3:13" ht="15.75" thickBot="1" x14ac:dyDescent="0.3">
      <c r="D35" s="23" t="s">
        <v>4</v>
      </c>
      <c r="E35" s="13">
        <v>6.4018439966448001E-2</v>
      </c>
      <c r="F35" s="13">
        <v>0.35777087639996635</v>
      </c>
      <c r="G35" s="13">
        <v>0</v>
      </c>
      <c r="H35" s="13">
        <v>1.8898223650461361E-2</v>
      </c>
      <c r="I35" s="16">
        <v>8.9802651013387469E-2</v>
      </c>
      <c r="J35" s="10">
        <v>0.30848223664026531</v>
      </c>
      <c r="K35" s="10">
        <v>0.36768151374572983</v>
      </c>
      <c r="L35" s="10">
        <v>0.54377584355244568</v>
      </c>
      <c r="M35" s="10">
        <v>1</v>
      </c>
    </row>
    <row r="37" spans="3:13" x14ac:dyDescent="0.25">
      <c r="C37" s="10" t="s">
        <v>32</v>
      </c>
      <c r="D37" s="10" t="s">
        <v>22</v>
      </c>
      <c r="E37" s="10">
        <v>6.4018439966448001E-2</v>
      </c>
      <c r="F37" s="10">
        <v>0.35777087639996635</v>
      </c>
      <c r="G37" s="10">
        <v>0.3</v>
      </c>
      <c r="H37" s="10">
        <v>1.8898223650461361E-2</v>
      </c>
      <c r="I37" s="10">
        <v>1.7960530202677492E-2</v>
      </c>
    </row>
    <row r="38" spans="3:13" x14ac:dyDescent="0.25">
      <c r="C38" s="10" t="s">
        <v>33</v>
      </c>
      <c r="D38" s="10" t="s">
        <v>23</v>
      </c>
      <c r="E38" s="10">
        <v>2.5607375986579195E-2</v>
      </c>
      <c r="F38" s="10">
        <v>0</v>
      </c>
      <c r="G38" s="10">
        <v>0</v>
      </c>
      <c r="H38" s="10">
        <v>9.4491118252306813E-2</v>
      </c>
      <c r="I38" s="10">
        <v>8.9802651013387469E-2</v>
      </c>
    </row>
  </sheetData>
  <mergeCells count="4">
    <mergeCell ref="B11:E11"/>
    <mergeCell ref="B20:E20"/>
    <mergeCell ref="B29:E29"/>
    <mergeCell ref="J30:K30"/>
  </mergeCells>
  <dataValidations count="1">
    <dataValidation type="list" allowBlank="1" showInputMessage="1" showErrorMessage="1" sqref="E4 E5 E6 E7 E8">
      <formula1>"Less the Better, More the Better"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AAA16"/>
  <sheetViews>
    <sheetView workbookViewId="0">
      <selection activeCell="E4" sqref="E4"/>
    </sheetView>
  </sheetViews>
  <sheetFormatPr defaultRowHeight="15" x14ac:dyDescent="0.25"/>
  <cols>
    <col min="1" max="1" width="9.140625" style="10"/>
    <col min="2" max="3" width="17.7109375" style="10" customWidth="1"/>
    <col min="4" max="703" width="12.7109375" style="10" customWidth="1"/>
  </cols>
  <sheetData>
    <row r="3" spans="2:8" ht="19.5" thickBot="1" x14ac:dyDescent="0.35">
      <c r="C3" s="27" t="s">
        <v>30</v>
      </c>
      <c r="D3" s="17"/>
    </row>
    <row r="4" spans="2:8" x14ac:dyDescent="0.25">
      <c r="D4" s="18" t="s">
        <v>11</v>
      </c>
      <c r="E4" s="14"/>
    </row>
    <row r="5" spans="2:8" x14ac:dyDescent="0.25">
      <c r="D5" s="19" t="s">
        <v>12</v>
      </c>
      <c r="E5" s="15"/>
    </row>
    <row r="6" spans="2:8" x14ac:dyDescent="0.25">
      <c r="D6" s="19" t="s">
        <v>13</v>
      </c>
      <c r="E6" s="15"/>
    </row>
    <row r="7" spans="2:8" ht="15.75" thickBot="1" x14ac:dyDescent="0.3">
      <c r="D7" s="20" t="s">
        <v>14</v>
      </c>
      <c r="E7" s="16"/>
    </row>
    <row r="10" spans="2:8" ht="19.5" thickBot="1" x14ac:dyDescent="0.35">
      <c r="B10" s="28" t="s">
        <v>31</v>
      </c>
      <c r="C10" s="28"/>
      <c r="D10" s="28"/>
      <c r="E10" s="28"/>
    </row>
    <row r="11" spans="2:8" ht="15.75" thickBot="1" x14ac:dyDescent="0.3">
      <c r="D11" s="21" t="s">
        <v>0</v>
      </c>
      <c r="E11" s="12"/>
      <c r="F11" s="12"/>
      <c r="G11" s="12"/>
      <c r="H11" s="14"/>
    </row>
    <row r="12" spans="2:8" ht="15.75" thickBot="1" x14ac:dyDescent="0.3">
      <c r="D12" s="24"/>
      <c r="E12" s="25" t="s">
        <v>11</v>
      </c>
      <c r="F12" s="25" t="s">
        <v>12</v>
      </c>
      <c r="G12" s="25" t="s">
        <v>13</v>
      </c>
      <c r="H12" s="26" t="s">
        <v>14</v>
      </c>
    </row>
    <row r="13" spans="2:8" x14ac:dyDescent="0.25">
      <c r="D13" s="22" t="s">
        <v>1</v>
      </c>
      <c r="E13" s="11"/>
      <c r="F13" s="11"/>
      <c r="G13" s="11"/>
      <c r="H13" s="15"/>
    </row>
    <row r="14" spans="2:8" x14ac:dyDescent="0.25">
      <c r="D14" s="22" t="s">
        <v>2</v>
      </c>
      <c r="E14" s="11"/>
      <c r="F14" s="11"/>
      <c r="G14" s="11"/>
      <c r="H14" s="15"/>
    </row>
    <row r="15" spans="2:8" x14ac:dyDescent="0.25">
      <c r="D15" s="22" t="s">
        <v>3</v>
      </c>
      <c r="E15" s="11"/>
      <c r="F15" s="11"/>
      <c r="G15" s="11"/>
      <c r="H15" s="15"/>
    </row>
    <row r="16" spans="2:8" ht="15.75" thickBot="1" x14ac:dyDescent="0.3">
      <c r="D16" s="23" t="s">
        <v>4</v>
      </c>
      <c r="E16" s="13"/>
      <c r="F16" s="13"/>
      <c r="G16" s="13"/>
      <c r="H16" s="16"/>
    </row>
  </sheetData>
  <mergeCells count="1">
    <mergeCell ref="B10:E10"/>
  </mergeCells>
  <dataValidations count="1">
    <dataValidation type="list" allowBlank="1" showInputMessage="1" showErrorMessage="1" sqref="E4 E5 E6 E7">
      <formula1>"Less the Better, More the Better"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AI62"/>
  <sheetViews>
    <sheetView zoomScale="70" zoomScaleNormal="70" workbookViewId="0">
      <selection activeCell="E14" sqref="E14:I17"/>
    </sheetView>
  </sheetViews>
  <sheetFormatPr defaultRowHeight="15" x14ac:dyDescent="0.25"/>
  <cols>
    <col min="1" max="1" width="9.140625" style="1"/>
    <col min="2" max="2" width="27.140625" style="1" bestFit="1" customWidth="1"/>
    <col min="3" max="3" width="9.140625" style="1"/>
    <col min="4" max="4" width="17.28515625" style="1" bestFit="1" customWidth="1"/>
    <col min="5" max="5" width="15.28515625" style="1" bestFit="1" customWidth="1"/>
    <col min="6" max="8" width="12" style="1" bestFit="1" customWidth="1"/>
    <col min="9" max="9" width="15.28515625" style="1" bestFit="1" customWidth="1"/>
    <col min="10" max="11" width="12" style="1" bestFit="1" customWidth="1"/>
    <col min="12" max="12" width="24" style="1" bestFit="1" customWidth="1"/>
    <col min="13" max="13" width="7.42578125" style="1" bestFit="1" customWidth="1"/>
    <col min="14" max="19" width="10" style="1" bestFit="1" customWidth="1"/>
    <col min="20" max="16384" width="9.140625" style="1"/>
  </cols>
  <sheetData>
    <row r="3" spans="1:35" x14ac:dyDescent="0.25">
      <c r="D3" s="2"/>
    </row>
    <row r="4" spans="1:35" x14ac:dyDescent="0.25">
      <c r="D4" s="5" t="s">
        <v>11</v>
      </c>
      <c r="E4" s="1" t="s">
        <v>20</v>
      </c>
      <c r="I4" s="1" t="s">
        <v>18</v>
      </c>
    </row>
    <row r="5" spans="1:35" x14ac:dyDescent="0.25">
      <c r="D5" s="5" t="s">
        <v>12</v>
      </c>
      <c r="E5" s="1" t="s">
        <v>21</v>
      </c>
      <c r="I5" s="1" t="s">
        <v>19</v>
      </c>
    </row>
    <row r="6" spans="1:35" x14ac:dyDescent="0.25">
      <c r="D6" s="5" t="s">
        <v>13</v>
      </c>
      <c r="E6" s="1" t="s">
        <v>21</v>
      </c>
    </row>
    <row r="7" spans="1:35" x14ac:dyDescent="0.25">
      <c r="D7" s="5" t="s">
        <v>14</v>
      </c>
      <c r="E7" s="1" t="s">
        <v>21</v>
      </c>
      <c r="F7" s="3"/>
      <c r="G7" s="3"/>
      <c r="H7" s="3"/>
      <c r="I7" s="3"/>
    </row>
    <row r="8" spans="1:35" s="2" customFormat="1" x14ac:dyDescent="0.25">
      <c r="A8" s="1"/>
      <c r="B8" s="1"/>
      <c r="C8" s="1"/>
      <c r="D8" s="5" t="s">
        <v>15</v>
      </c>
      <c r="E8" s="1" t="s">
        <v>21</v>
      </c>
      <c r="J8" s="1"/>
      <c r="K8" s="1"/>
      <c r="L8" s="1"/>
      <c r="M8" s="1"/>
      <c r="N8" s="1"/>
      <c r="O8" s="1"/>
      <c r="P8" s="1"/>
      <c r="Q8" s="1"/>
      <c r="R8" s="1"/>
      <c r="S8" s="1"/>
    </row>
    <row r="9" spans="1:35" s="2" customFormat="1" x14ac:dyDescent="0.25">
      <c r="A9" s="1"/>
      <c r="B9" s="1"/>
      <c r="C9" s="1"/>
      <c r="E9" s="4"/>
      <c r="F9" s="4"/>
      <c r="G9" s="4"/>
      <c r="H9" s="4"/>
      <c r="I9" s="4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35" x14ac:dyDescent="0.25">
      <c r="D10" s="2"/>
      <c r="E10" s="4"/>
      <c r="F10" s="4"/>
      <c r="G10" s="4"/>
      <c r="H10" s="4"/>
      <c r="I10" s="4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</row>
    <row r="11" spans="1:35" x14ac:dyDescent="0.25">
      <c r="D11" s="2"/>
      <c r="E11" s="4"/>
      <c r="F11" s="4"/>
      <c r="G11" s="4"/>
      <c r="H11" s="4"/>
      <c r="I11" s="4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</row>
    <row r="12" spans="1:35" x14ac:dyDescent="0.25">
      <c r="D12" s="5" t="s">
        <v>0</v>
      </c>
      <c r="E12" s="7">
        <v>3.9851157925767683E-2</v>
      </c>
      <c r="F12" s="7">
        <v>0.21930793714619448</v>
      </c>
      <c r="G12" s="7">
        <v>0.10579429988831171</v>
      </c>
      <c r="H12" s="7">
        <v>0.56317872655609669</v>
      </c>
      <c r="I12" s="7">
        <v>7.1867878483629438E-2</v>
      </c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</row>
    <row r="13" spans="1:35" x14ac:dyDescent="0.25">
      <c r="D13" s="2"/>
      <c r="E13" s="6" t="s">
        <v>11</v>
      </c>
      <c r="F13" s="6" t="s">
        <v>12</v>
      </c>
      <c r="G13" s="6" t="s">
        <v>13</v>
      </c>
      <c r="H13" s="6" t="s">
        <v>14</v>
      </c>
      <c r="I13" s="6" t="s">
        <v>15</v>
      </c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</row>
    <row r="14" spans="1:35" x14ac:dyDescent="0.25">
      <c r="D14" s="5" t="s">
        <v>1</v>
      </c>
      <c r="E14" s="8">
        <v>2</v>
      </c>
      <c r="F14" s="8">
        <v>0</v>
      </c>
      <c r="G14" s="8">
        <v>0</v>
      </c>
      <c r="H14" s="8">
        <v>1</v>
      </c>
      <c r="I14" s="8">
        <v>1</v>
      </c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</row>
    <row r="15" spans="1:35" x14ac:dyDescent="0.25">
      <c r="D15" s="5" t="s">
        <v>2</v>
      </c>
      <c r="E15" s="8">
        <v>4</v>
      </c>
      <c r="F15" s="8">
        <v>1</v>
      </c>
      <c r="G15" s="8">
        <v>0</v>
      </c>
      <c r="H15" s="8">
        <v>1</v>
      </c>
      <c r="I15" s="8">
        <v>2</v>
      </c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</row>
    <row r="16" spans="1:35" x14ac:dyDescent="0.25">
      <c r="D16" s="5" t="s">
        <v>3</v>
      </c>
      <c r="E16" s="8">
        <v>4</v>
      </c>
      <c r="F16" s="8">
        <v>0</v>
      </c>
      <c r="G16" s="8">
        <v>10</v>
      </c>
      <c r="H16" s="8">
        <v>5</v>
      </c>
      <c r="I16" s="8">
        <v>1</v>
      </c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</row>
    <row r="17" spans="2:35" x14ac:dyDescent="0.25">
      <c r="D17" s="5" t="s">
        <v>4</v>
      </c>
      <c r="E17" s="8">
        <v>5</v>
      </c>
      <c r="F17" s="8">
        <v>2</v>
      </c>
      <c r="G17" s="8">
        <v>0</v>
      </c>
      <c r="H17" s="8">
        <v>1</v>
      </c>
      <c r="I17" s="8">
        <v>5</v>
      </c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</row>
    <row r="18" spans="2:35" x14ac:dyDescent="0.25">
      <c r="D18" s="5" t="s">
        <v>5</v>
      </c>
      <c r="E18" s="8">
        <v>3</v>
      </c>
      <c r="F18" s="8">
        <v>1</v>
      </c>
      <c r="G18" s="8">
        <v>3</v>
      </c>
      <c r="H18" s="8">
        <v>3</v>
      </c>
      <c r="I18" s="8">
        <v>0</v>
      </c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</row>
    <row r="19" spans="2:35" x14ac:dyDescent="0.25">
      <c r="D19" s="5" t="s">
        <v>6</v>
      </c>
      <c r="E19" s="8">
        <v>4</v>
      </c>
      <c r="F19" s="8">
        <v>3</v>
      </c>
      <c r="G19" s="8">
        <v>0</v>
      </c>
      <c r="H19" s="8">
        <v>1</v>
      </c>
      <c r="I19" s="8">
        <v>3</v>
      </c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</row>
    <row r="20" spans="2:35" x14ac:dyDescent="0.25">
      <c r="D20" s="5" t="s">
        <v>7</v>
      </c>
      <c r="E20" s="8">
        <v>2</v>
      </c>
      <c r="F20" s="8">
        <v>0</v>
      </c>
      <c r="G20" s="8">
        <v>0</v>
      </c>
      <c r="H20" s="8">
        <v>1</v>
      </c>
      <c r="I20" s="8">
        <v>0</v>
      </c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</row>
    <row r="21" spans="2:35" x14ac:dyDescent="0.25">
      <c r="D21" s="5" t="s">
        <v>8</v>
      </c>
      <c r="E21" s="8">
        <v>2</v>
      </c>
      <c r="F21" s="8">
        <v>0</v>
      </c>
      <c r="G21" s="8">
        <v>0</v>
      </c>
      <c r="H21" s="8">
        <v>1</v>
      </c>
      <c r="I21" s="8">
        <v>0</v>
      </c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</row>
    <row r="22" spans="2:35" x14ac:dyDescent="0.25">
      <c r="D22" s="5" t="s">
        <v>9</v>
      </c>
      <c r="E22" s="8">
        <v>2</v>
      </c>
      <c r="F22" s="8">
        <v>0</v>
      </c>
      <c r="G22" s="8">
        <v>3</v>
      </c>
      <c r="H22" s="8">
        <v>3</v>
      </c>
      <c r="I22" s="8">
        <v>2</v>
      </c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</row>
    <row r="23" spans="2:35" x14ac:dyDescent="0.25">
      <c r="D23" s="5" t="s">
        <v>10</v>
      </c>
      <c r="E23" s="8">
        <v>4</v>
      </c>
      <c r="F23" s="8">
        <v>4</v>
      </c>
      <c r="G23" s="8">
        <v>0</v>
      </c>
      <c r="H23" s="8">
        <v>1</v>
      </c>
      <c r="I23" s="8">
        <v>1</v>
      </c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</row>
    <row r="24" spans="2:35" x14ac:dyDescent="0.25">
      <c r="D24" s="5" t="s">
        <v>16</v>
      </c>
      <c r="E24" s="8">
        <v>1</v>
      </c>
      <c r="F24" s="8">
        <v>1</v>
      </c>
      <c r="G24" s="8">
        <v>0</v>
      </c>
      <c r="H24" s="8">
        <v>1</v>
      </c>
      <c r="I24" s="8">
        <v>0</v>
      </c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</row>
    <row r="25" spans="2:35" x14ac:dyDescent="0.25">
      <c r="D25" s="5" t="s">
        <v>17</v>
      </c>
      <c r="E25" s="8">
        <v>1</v>
      </c>
      <c r="F25" s="8">
        <v>0</v>
      </c>
      <c r="G25" s="8">
        <v>0</v>
      </c>
      <c r="H25" s="8">
        <v>1</v>
      </c>
      <c r="I25" s="8">
        <v>0</v>
      </c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</row>
    <row r="26" spans="2:35" x14ac:dyDescent="0.25">
      <c r="D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</row>
    <row r="27" spans="2:35" x14ac:dyDescent="0.25">
      <c r="D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</row>
    <row r="28" spans="2:35" x14ac:dyDescent="0.25">
      <c r="B28" s="1" t="s">
        <v>28</v>
      </c>
      <c r="D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</row>
    <row r="29" spans="2:35" x14ac:dyDescent="0.25">
      <c r="D29" s="5" t="s">
        <v>0</v>
      </c>
      <c r="E29" s="1">
        <v>3.9851157925767683E-2</v>
      </c>
      <c r="F29" s="1">
        <v>0.21930793714619448</v>
      </c>
      <c r="G29" s="1">
        <v>0.10579429988831171</v>
      </c>
      <c r="H29" s="1">
        <v>0.56317872655609669</v>
      </c>
      <c r="I29" s="1">
        <v>7.1867878483629438E-2</v>
      </c>
    </row>
    <row r="30" spans="2:35" x14ac:dyDescent="0.25">
      <c r="D30" s="2"/>
      <c r="E30" s="5" t="s">
        <v>11</v>
      </c>
      <c r="F30" s="5" t="s">
        <v>12</v>
      </c>
      <c r="G30" s="5" t="s">
        <v>13</v>
      </c>
      <c r="H30" s="5" t="s">
        <v>14</v>
      </c>
      <c r="I30" s="5" t="s">
        <v>15</v>
      </c>
    </row>
    <row r="31" spans="2:35" x14ac:dyDescent="0.25">
      <c r="D31" s="5" t="s">
        <v>1</v>
      </c>
      <c r="E31" s="1">
        <v>0.18569533817705186</v>
      </c>
      <c r="F31" s="1">
        <v>0</v>
      </c>
      <c r="G31" s="1">
        <v>0</v>
      </c>
      <c r="H31" s="1">
        <v>0.13867504905630729</v>
      </c>
      <c r="I31" s="1">
        <v>0.14907119849998599</v>
      </c>
    </row>
    <row r="32" spans="2:35" x14ac:dyDescent="0.25">
      <c r="D32" s="5" t="s">
        <v>2</v>
      </c>
      <c r="E32" s="1">
        <v>0.37139067635410372</v>
      </c>
      <c r="F32" s="1">
        <v>0.17677669529663687</v>
      </c>
      <c r="G32" s="1">
        <v>0</v>
      </c>
      <c r="H32" s="1">
        <v>0.13867504905630729</v>
      </c>
      <c r="I32" s="1">
        <v>0.29814239699997197</v>
      </c>
    </row>
    <row r="33" spans="2:13" x14ac:dyDescent="0.25">
      <c r="D33" s="5" t="s">
        <v>3</v>
      </c>
      <c r="E33" s="1">
        <v>0.37139067635410372</v>
      </c>
      <c r="F33" s="1">
        <v>0</v>
      </c>
      <c r="G33" s="1">
        <v>0.9205746178983234</v>
      </c>
      <c r="H33" s="1">
        <v>0.69337524528153649</v>
      </c>
      <c r="I33" s="1">
        <v>0.14907119849998599</v>
      </c>
    </row>
    <row r="34" spans="2:13" x14ac:dyDescent="0.25">
      <c r="D34" s="5" t="s">
        <v>4</v>
      </c>
      <c r="E34" s="1">
        <v>0.46423834544262971</v>
      </c>
      <c r="F34" s="1">
        <v>0.35355339059327373</v>
      </c>
      <c r="G34" s="1">
        <v>0</v>
      </c>
      <c r="H34" s="1">
        <v>0.13867504905630729</v>
      </c>
      <c r="I34" s="1">
        <v>0.7453559924999299</v>
      </c>
    </row>
    <row r="35" spans="2:13" x14ac:dyDescent="0.25">
      <c r="D35" s="5" t="s">
        <v>5</v>
      </c>
      <c r="E35" s="1">
        <v>0.27854300726557779</v>
      </c>
      <c r="F35" s="1">
        <v>0.17677669529663687</v>
      </c>
      <c r="G35" s="1">
        <v>0.27617238536949701</v>
      </c>
      <c r="H35" s="1">
        <v>0.41602514716892186</v>
      </c>
      <c r="I35" s="1">
        <v>0</v>
      </c>
    </row>
    <row r="36" spans="2:13" x14ac:dyDescent="0.25">
      <c r="D36" s="5" t="s">
        <v>6</v>
      </c>
      <c r="E36" s="1">
        <v>0.37139067635410372</v>
      </c>
      <c r="F36" s="1">
        <v>0.5303300858899106</v>
      </c>
      <c r="G36" s="1">
        <v>0</v>
      </c>
      <c r="H36" s="1">
        <v>0.13867504905630729</v>
      </c>
      <c r="I36" s="1">
        <v>0.44721359549995793</v>
      </c>
    </row>
    <row r="37" spans="2:13" x14ac:dyDescent="0.25">
      <c r="D37" s="5" t="s">
        <v>7</v>
      </c>
      <c r="E37" s="1">
        <v>0.18569533817705186</v>
      </c>
      <c r="F37" s="1">
        <v>0</v>
      </c>
      <c r="G37" s="1">
        <v>0</v>
      </c>
      <c r="H37" s="1">
        <v>0.13867504905630729</v>
      </c>
      <c r="I37" s="1">
        <v>0</v>
      </c>
    </row>
    <row r="38" spans="2:13" x14ac:dyDescent="0.25">
      <c r="D38" s="5" t="s">
        <v>8</v>
      </c>
      <c r="E38" s="1">
        <v>0.18569533817705186</v>
      </c>
      <c r="F38" s="1">
        <v>0</v>
      </c>
      <c r="G38" s="1">
        <v>0</v>
      </c>
      <c r="H38" s="1">
        <v>0.13867504905630729</v>
      </c>
      <c r="I38" s="1">
        <v>0</v>
      </c>
    </row>
    <row r="39" spans="2:13" x14ac:dyDescent="0.25">
      <c r="D39" s="5" t="s">
        <v>9</v>
      </c>
      <c r="E39" s="1">
        <v>0.18569533817705186</v>
      </c>
      <c r="F39" s="1">
        <v>0</v>
      </c>
      <c r="G39" s="1">
        <v>0.27617238536949701</v>
      </c>
      <c r="H39" s="1">
        <v>0.41602514716892186</v>
      </c>
      <c r="I39" s="1">
        <v>0.29814239699997197</v>
      </c>
    </row>
    <row r="40" spans="2:13" x14ac:dyDescent="0.25">
      <c r="D40" s="5" t="s">
        <v>10</v>
      </c>
      <c r="E40" s="1">
        <v>0.37139067635410372</v>
      </c>
      <c r="F40" s="1">
        <v>0.70710678118654746</v>
      </c>
      <c r="G40" s="1">
        <v>0</v>
      </c>
      <c r="H40" s="1">
        <v>0.13867504905630729</v>
      </c>
      <c r="I40" s="1">
        <v>0.14907119849998599</v>
      </c>
    </row>
    <row r="41" spans="2:13" x14ac:dyDescent="0.25">
      <c r="D41" s="5" t="s">
        <v>16</v>
      </c>
      <c r="E41" s="1">
        <v>9.284766908852593E-2</v>
      </c>
      <c r="F41" s="1">
        <v>0.17677669529663687</v>
      </c>
      <c r="G41" s="1">
        <v>0</v>
      </c>
      <c r="H41" s="1">
        <v>0.13867504905630729</v>
      </c>
      <c r="I41" s="1">
        <v>0</v>
      </c>
    </row>
    <row r="42" spans="2:13" x14ac:dyDescent="0.25">
      <c r="D42" s="5" t="s">
        <v>17</v>
      </c>
      <c r="E42" s="1">
        <v>9.284766908852593E-2</v>
      </c>
      <c r="F42" s="1">
        <v>0</v>
      </c>
      <c r="G42" s="1">
        <v>0</v>
      </c>
      <c r="H42" s="1">
        <v>0.13867504905630729</v>
      </c>
      <c r="I42" s="1">
        <v>0</v>
      </c>
    </row>
    <row r="45" spans="2:13" x14ac:dyDescent="0.25">
      <c r="B45" s="1" t="s">
        <v>29</v>
      </c>
    </row>
    <row r="46" spans="2:13" x14ac:dyDescent="0.25">
      <c r="D46" s="5" t="s">
        <v>0</v>
      </c>
      <c r="E46" s="9">
        <v>3.9851157925767683E-2</v>
      </c>
      <c r="F46" s="9">
        <v>0.21930793714619448</v>
      </c>
      <c r="G46" s="9">
        <v>0.10579429988831171</v>
      </c>
      <c r="H46" s="9">
        <v>0.56317872655609669</v>
      </c>
      <c r="I46" s="9">
        <v>7.1867878483629438E-2</v>
      </c>
    </row>
    <row r="47" spans="2:13" x14ac:dyDescent="0.25">
      <c r="D47" s="2"/>
      <c r="E47" s="5" t="s">
        <v>11</v>
      </c>
      <c r="F47" s="5" t="s">
        <v>12</v>
      </c>
      <c r="G47" s="5" t="s">
        <v>13</v>
      </c>
      <c r="H47" s="5" t="s">
        <v>14</v>
      </c>
      <c r="I47" s="5" t="s">
        <v>15</v>
      </c>
      <c r="J47" s="2" t="s">
        <v>24</v>
      </c>
      <c r="K47" s="2" t="s">
        <v>25</v>
      </c>
      <c r="L47" s="2" t="s">
        <v>26</v>
      </c>
      <c r="M47" s="2" t="s">
        <v>27</v>
      </c>
    </row>
    <row r="48" spans="2:13" x14ac:dyDescent="0.25">
      <c r="D48" s="5" t="s">
        <v>1</v>
      </c>
      <c r="E48" s="9">
        <v>7.4001742477725306E-3</v>
      </c>
      <c r="F48" s="9">
        <v>0</v>
      </c>
      <c r="G48" s="9">
        <v>0</v>
      </c>
      <c r="H48" s="9">
        <v>7.8098837532635371E-2</v>
      </c>
      <c r="I48" s="9">
        <v>1.0713430779205996E-2</v>
      </c>
      <c r="J48" s="1">
        <v>0.13297408612567491</v>
      </c>
      <c r="K48" s="1">
        <v>2.3799340157997883E-4</v>
      </c>
      <c r="L48" s="1">
        <v>1.7865752296981892E-3</v>
      </c>
      <c r="M48" s="1">
        <f>_xlfn.RANK.EQ(L48,$L$48:$L$59)</f>
        <v>9</v>
      </c>
    </row>
    <row r="49" spans="4:13" x14ac:dyDescent="0.25">
      <c r="D49" s="5" t="s">
        <v>2</v>
      </c>
      <c r="E49" s="9">
        <v>1.4800348495545061E-2</v>
      </c>
      <c r="F49" s="9">
        <v>3.8768532381026809E-2</v>
      </c>
      <c r="G49" s="9">
        <v>0</v>
      </c>
      <c r="H49" s="9">
        <v>7.8098837532635371E-2</v>
      </c>
      <c r="I49" s="9">
        <v>2.1426861558411992E-2</v>
      </c>
      <c r="J49" s="1">
        <v>0.12175917436919277</v>
      </c>
      <c r="K49" s="1">
        <v>1.9758001439464266E-3</v>
      </c>
      <c r="L49" s="1">
        <v>1.5968000573165511E-2</v>
      </c>
      <c r="M49" s="1">
        <f t="shared" ref="M49:M59" si="0">_xlfn.RANK.EQ(L49,$L$48:$L$59)</f>
        <v>7</v>
      </c>
    </row>
    <row r="50" spans="4:13" x14ac:dyDescent="0.25">
      <c r="D50" s="5" t="s">
        <v>3</v>
      </c>
      <c r="E50" s="9">
        <v>1.4800348495545061E-2</v>
      </c>
      <c r="F50" s="9">
        <v>0</v>
      </c>
      <c r="G50" s="9">
        <v>9.7391547195503192E-2</v>
      </c>
      <c r="H50" s="9">
        <v>0.39049418766317689</v>
      </c>
      <c r="I50" s="9">
        <v>1.0713430779205996E-2</v>
      </c>
      <c r="J50" s="1">
        <v>2.6007643035152142E-2</v>
      </c>
      <c r="K50" s="1">
        <v>0.10720443649210275</v>
      </c>
      <c r="L50" s="1">
        <v>0.80476512995331595</v>
      </c>
      <c r="M50" s="1">
        <f t="shared" si="0"/>
        <v>1</v>
      </c>
    </row>
    <row r="51" spans="4:13" x14ac:dyDescent="0.25">
      <c r="D51" s="5" t="s">
        <v>4</v>
      </c>
      <c r="E51" s="9">
        <v>1.8500435619431328E-2</v>
      </c>
      <c r="F51" s="9">
        <v>7.7537064762053617E-2</v>
      </c>
      <c r="G51" s="9">
        <v>0</v>
      </c>
      <c r="H51" s="9">
        <v>7.8098837532635371E-2</v>
      </c>
      <c r="I51" s="9">
        <v>5.3567153896029979E-2</v>
      </c>
      <c r="J51" s="1">
        <v>0.11330701497582205</v>
      </c>
      <c r="K51" s="1">
        <v>8.8814363884358559E-3</v>
      </c>
      <c r="L51" s="1">
        <v>7.2686381481006479E-2</v>
      </c>
      <c r="M51" s="1">
        <f t="shared" si="0"/>
        <v>6</v>
      </c>
    </row>
    <row r="52" spans="4:13" x14ac:dyDescent="0.25">
      <c r="D52" s="5" t="s">
        <v>5</v>
      </c>
      <c r="E52" s="9">
        <v>1.1100261371658796E-2</v>
      </c>
      <c r="F52" s="9">
        <v>3.8768532381026809E-2</v>
      </c>
      <c r="G52" s="9">
        <v>2.9217464158650956E-2</v>
      </c>
      <c r="H52" s="9">
        <v>0.23429651259790613</v>
      </c>
      <c r="I52" s="9">
        <v>0</v>
      </c>
      <c r="J52" s="1">
        <v>4.5496613775938402E-2</v>
      </c>
      <c r="K52" s="1">
        <v>2.6809135589534083E-2</v>
      </c>
      <c r="L52" s="1">
        <v>0.37077460402251233</v>
      </c>
      <c r="M52" s="1">
        <f t="shared" si="0"/>
        <v>2</v>
      </c>
    </row>
    <row r="53" spans="4:13" x14ac:dyDescent="0.25">
      <c r="D53" s="5" t="s">
        <v>6</v>
      </c>
      <c r="E53" s="9">
        <v>1.4800348495545061E-2</v>
      </c>
      <c r="F53" s="9">
        <v>0.11630559714308043</v>
      </c>
      <c r="G53" s="9">
        <v>0</v>
      </c>
      <c r="H53" s="9">
        <v>7.8098837532635371E-2</v>
      </c>
      <c r="I53" s="9">
        <v>3.2140292337617983E-2</v>
      </c>
      <c r="J53" s="1">
        <v>0.10916129355005878</v>
      </c>
      <c r="K53" s="1">
        <v>1.4573680963080413E-2</v>
      </c>
      <c r="L53" s="1">
        <v>0.11778141968690396</v>
      </c>
      <c r="M53" s="1">
        <f t="shared" si="0"/>
        <v>5</v>
      </c>
    </row>
    <row r="54" spans="4:13" x14ac:dyDescent="0.25">
      <c r="D54" s="5" t="s">
        <v>7</v>
      </c>
      <c r="E54" s="9">
        <v>7.4001742477725306E-3</v>
      </c>
      <c r="F54" s="9">
        <v>0</v>
      </c>
      <c r="G54" s="9">
        <v>0</v>
      </c>
      <c r="H54" s="9">
        <v>7.8098837532635371E-2</v>
      </c>
      <c r="I54" s="9">
        <v>0</v>
      </c>
      <c r="J54" s="1">
        <v>0.13400708451722243</v>
      </c>
      <c r="K54" s="1">
        <v>1.2321580251914045E-4</v>
      </c>
      <c r="L54" s="1">
        <v>9.1862764957222195E-4</v>
      </c>
      <c r="M54" s="1">
        <f t="shared" si="0"/>
        <v>11</v>
      </c>
    </row>
    <row r="55" spans="4:13" x14ac:dyDescent="0.25">
      <c r="D55" s="5" t="s">
        <v>8</v>
      </c>
      <c r="E55" s="9">
        <v>7.4001742477725306E-3</v>
      </c>
      <c r="F55" s="9">
        <v>0</v>
      </c>
      <c r="G55" s="9">
        <v>0</v>
      </c>
      <c r="H55" s="9">
        <v>7.8098837532635371E-2</v>
      </c>
      <c r="I55" s="9">
        <v>0</v>
      </c>
      <c r="J55" s="1">
        <v>0.13400708451722243</v>
      </c>
      <c r="K55" s="1">
        <v>1.2321580251914045E-4</v>
      </c>
      <c r="L55" s="1">
        <v>9.1862764957222195E-4</v>
      </c>
      <c r="M55" s="1">
        <f t="shared" si="0"/>
        <v>11</v>
      </c>
    </row>
    <row r="56" spans="4:13" x14ac:dyDescent="0.25">
      <c r="D56" s="5" t="s">
        <v>9</v>
      </c>
      <c r="E56" s="9">
        <v>7.4001742477725306E-3</v>
      </c>
      <c r="F56" s="9">
        <v>0</v>
      </c>
      <c r="G56" s="9">
        <v>2.9217464158650956E-2</v>
      </c>
      <c r="H56" s="9">
        <v>0.23429651259790613</v>
      </c>
      <c r="I56" s="9">
        <v>2.1426861558411992E-2</v>
      </c>
      <c r="J56" s="1">
        <v>5.4140093977643015E-2</v>
      </c>
      <c r="K56" s="1">
        <v>2.5833700106420453E-2</v>
      </c>
      <c r="L56" s="1">
        <v>0.32302706658215663</v>
      </c>
      <c r="M56" s="1">
        <f t="shared" si="0"/>
        <v>3</v>
      </c>
    </row>
    <row r="57" spans="4:13" x14ac:dyDescent="0.25">
      <c r="D57" s="5" t="s">
        <v>10</v>
      </c>
      <c r="E57" s="9">
        <v>1.4800348495545061E-2</v>
      </c>
      <c r="F57" s="9">
        <v>0.15507412952410723</v>
      </c>
      <c r="G57" s="9">
        <v>0</v>
      </c>
      <c r="H57" s="9">
        <v>7.8098837532635371E-2</v>
      </c>
      <c r="I57" s="9">
        <v>1.0713430779205996E-2</v>
      </c>
      <c r="J57" s="1">
        <v>0.10903562563581011</v>
      </c>
      <c r="K57" s="1">
        <v>2.4176453891444776E-2</v>
      </c>
      <c r="L57" s="1">
        <v>0.18148845042613668</v>
      </c>
      <c r="M57" s="1">
        <f t="shared" si="0"/>
        <v>4</v>
      </c>
    </row>
    <row r="58" spans="4:13" x14ac:dyDescent="0.25">
      <c r="D58" s="5" t="s">
        <v>16</v>
      </c>
      <c r="E58" s="9">
        <v>3.7000871238862653E-3</v>
      </c>
      <c r="F58" s="9">
        <v>3.8768532381026809E-2</v>
      </c>
      <c r="G58" s="9">
        <v>0</v>
      </c>
      <c r="H58" s="9">
        <v>7.8098837532635371E-2</v>
      </c>
      <c r="I58" s="9">
        <v>0</v>
      </c>
      <c r="J58" s="1">
        <v>0.12347240015164704</v>
      </c>
      <c r="K58" s="1">
        <v>1.7220494185683072E-3</v>
      </c>
      <c r="L58" s="1">
        <v>1.3754998120763294E-2</v>
      </c>
      <c r="M58" s="1">
        <f t="shared" si="0"/>
        <v>8</v>
      </c>
    </row>
    <row r="59" spans="4:13" x14ac:dyDescent="0.25">
      <c r="D59" s="5" t="s">
        <v>17</v>
      </c>
      <c r="E59" s="9">
        <v>3.7000871238862653E-3</v>
      </c>
      <c r="F59" s="9">
        <v>0</v>
      </c>
      <c r="G59" s="9">
        <v>0</v>
      </c>
      <c r="H59" s="9">
        <v>7.8098837532635371E-2</v>
      </c>
      <c r="I59" s="9">
        <v>0</v>
      </c>
      <c r="J59" s="1">
        <v>0.13399339387249809</v>
      </c>
      <c r="K59" s="1">
        <v>2.1905031558958302E-4</v>
      </c>
      <c r="L59" s="1">
        <v>1.6321162833649171E-3</v>
      </c>
      <c r="M59" s="1">
        <f t="shared" si="0"/>
        <v>10</v>
      </c>
    </row>
    <row r="61" spans="4:13" x14ac:dyDescent="0.25">
      <c r="D61" s="1" t="s">
        <v>22</v>
      </c>
      <c r="E61" s="1">
        <v>3.7000871238862653E-3</v>
      </c>
      <c r="F61" s="1">
        <v>0.15507412952410723</v>
      </c>
      <c r="G61" s="1">
        <v>9.7391547195503192E-2</v>
      </c>
      <c r="H61" s="1">
        <v>0.39049418766317689</v>
      </c>
      <c r="I61" s="1">
        <v>5.3567153896029979E-2</v>
      </c>
    </row>
    <row r="62" spans="4:13" x14ac:dyDescent="0.25">
      <c r="D62" s="1" t="s">
        <v>23</v>
      </c>
      <c r="E62" s="1">
        <v>1.8500435619431328E-2</v>
      </c>
      <c r="F62" s="1">
        <v>0</v>
      </c>
      <c r="G62" s="1">
        <v>0</v>
      </c>
      <c r="H62" s="1">
        <v>7.8098837532635371E-2</v>
      </c>
      <c r="I62" s="1">
        <v>0</v>
      </c>
    </row>
  </sheetData>
  <dataValidations count="1">
    <dataValidation type="list" allowBlank="1" showInputMessage="1" showErrorMessage="1" sqref="E4:E8">
      <formula1>"Less the Better, More the Better"</formula1>
    </dataValidation>
  </dataValidations>
  <pageMargins left="0.7" right="0.7" top="0.75" bottom="0.75" header="0.3" footer="0.3"/>
  <pageSetup orientation="portrait" r:id="rId1"/>
</worksheet>
</file>

<file path=customUI/customUI14.xml><?xml version="1.0" encoding="utf-8"?>
<customUI xmlns="http://schemas.microsoft.com/office/2009/07/customui">
  <ribbon>
    <tabs>
      <tab idMso="TabAddIns">
        <group id="customGroup1" label="TOPSIS">
          <button id="customButton2" label="TOPSIS" size="large" onAction="TOPSISForm" imageMso="HappyFac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Sheet3</vt:lpstr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Arpit Bansal</dc:creator>
  <cp:lastModifiedBy>Arpit Bansal</cp:lastModifiedBy>
  <dcterms:created xsi:type="dcterms:W3CDTF">2021-01-08T05:01:04Z</dcterms:created>
  <dcterms:modified xsi:type="dcterms:W3CDTF">2021-06-16T18:39:45Z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0cadc24f-2deb-4f56-8e59-5ef546cb53ee</vt:lpwstr>
  </property>
</Properties>
</file>